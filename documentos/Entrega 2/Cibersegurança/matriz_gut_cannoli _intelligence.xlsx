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alexa\OneDrive\Área de Trabalho\"/>
    </mc:Choice>
  </mc:AlternateContent>
  <xr:revisionPtr revIDLastSave="0" documentId="8_{F5EBFB17-7FE1-4EA1-9BE8-47C8EFA9B24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atriz GU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9" i="1" l="1"/>
  <c r="F8" i="1"/>
  <c r="F7" i="1"/>
  <c r="F6" i="1"/>
  <c r="F5" i="1"/>
  <c r="G5" i="1" s="1"/>
  <c r="F4" i="1"/>
  <c r="F3" i="1"/>
  <c r="F2" i="1"/>
  <c r="G2" i="1" s="1"/>
  <c r="G4" i="1" l="1"/>
  <c r="G6" i="1"/>
  <c r="G9" i="1"/>
  <c r="G3" i="1"/>
  <c r="G7" i="1"/>
  <c r="G8" i="1"/>
</calcChain>
</file>

<file path=xl/sharedStrings.xml><?xml version="1.0" encoding="utf-8"?>
<sst xmlns="http://schemas.openxmlformats.org/spreadsheetml/2006/main" count="47" uniqueCount="45">
  <si>
    <t>Risco Identificado</t>
  </si>
  <si>
    <t>Função NIST</t>
  </si>
  <si>
    <t>Gravidade (G)</t>
  </si>
  <si>
    <t>Urgência (U)</t>
  </si>
  <si>
    <t>Tendência (T)</t>
  </si>
  <si>
    <t>Cálculo GxUxT</t>
  </si>
  <si>
    <t>Criticidade</t>
  </si>
  <si>
    <t>Ação/Mitigação Recomendada</t>
  </si>
  <si>
    <t>Vazamento de dados sensíveis</t>
  </si>
  <si>
    <t>Protect</t>
  </si>
  <si>
    <t>Criptografia AES-256 + TLS 1.3 + IAM/MFA</t>
  </si>
  <si>
    <t>Ataques de força bruta em login</t>
  </si>
  <si>
    <t>Detect / Protect</t>
  </si>
  <si>
    <t>Rate limiting, Captcha e bloqueio após tentativas</t>
  </si>
  <si>
    <t>SQL Injection</t>
  </si>
  <si>
    <t>ORM, prepared statements e sanitização de inputs</t>
  </si>
  <si>
    <t>Indisponibilidade por DDoS</t>
  </si>
  <si>
    <t>Detect / Respond</t>
  </si>
  <si>
    <t>WAF, rate limiting e monitoramento de tráfego</t>
  </si>
  <si>
    <t>Usuário interno mal-intencionado</t>
  </si>
  <si>
    <t>Identify / Protect</t>
  </si>
  <si>
    <t>RBAC, auditoria de logs e segregação de funções</t>
  </si>
  <si>
    <t>Falha em backup/restauração</t>
  </si>
  <si>
    <t>Recover</t>
  </si>
  <si>
    <t>Testes periódicos de backup e redundância</t>
  </si>
  <si>
    <t>Lacunas de preenchimento em dados críticos</t>
  </si>
  <si>
    <t>Identify</t>
  </si>
  <si>
    <t>Regras de validação e auditoria de dados no backend</t>
  </si>
  <si>
    <t>Falhas de integração com APIs externas</t>
  </si>
  <si>
    <t>Autenticação segura (tokens), logs e testes automatizados</t>
  </si>
  <si>
    <t>Letra</t>
  </si>
  <si>
    <t>Significado</t>
  </si>
  <si>
    <t>Descrição</t>
  </si>
  <si>
    <t>G</t>
  </si>
  <si>
    <t>Gravidade</t>
  </si>
  <si>
    <t>Impacto no negócio/segurança</t>
  </si>
  <si>
    <t>U</t>
  </si>
  <si>
    <t>Urgência</t>
  </si>
  <si>
    <t>Quão rápido precisa agir</t>
  </si>
  <si>
    <t>T</t>
  </si>
  <si>
    <t>Tendência</t>
  </si>
  <si>
    <t>Chance de piorar/ocorrer</t>
  </si>
  <si>
    <t>GxUxT</t>
  </si>
  <si>
    <t>Prioridade</t>
  </si>
  <si>
    <t>Define a criticidade final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</si>
</sst>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2"/>
      <color rgb="FFFFFFFF"/>
      <name val="Calibri"/>
      <family val="2"/>
    </font>
    <font>
      <sz val="12"/>
      <color theme="1"/>
      <name val="Calibri"/>
      <family val="2"/>
      <scheme val="minor"/>
    </font>
    <font>
      <b/>
      <sz val="1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7"/>
        <bgColor rgb="FF1F2937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1" fillId="2" borderId="1" xfId="0" applyFont="1" applyFill="1" applyBorder="1"/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/>
    <xf numFmtId="0" fontId="4" fillId="0" borderId="1" xfId="0" applyFont="1" applyBorder="1" applyAlignment="1">
      <alignment horizontal="center" vertical="center"/>
    </xf>
  </cellXfs>
  <cellStyles count="1">
    <cellStyle name="Normal" xfId="0" builtinId="0"/>
  </cellStyles>
  <dxfs count="3">
    <dxf>
      <fill>
        <patternFill patternType="solid">
          <fgColor rgb="FFFFF3CD"/>
          <bgColor rgb="FFFFF3CD"/>
        </patternFill>
      </fill>
    </dxf>
    <dxf>
      <fill>
        <patternFill patternType="solid">
          <fgColor rgb="FFFFA500"/>
          <bgColor rgb="FFFFA500"/>
        </patternFill>
      </fill>
    </dxf>
    <dxf>
      <font>
        <color rgb="FFFFFFFF"/>
      </font>
      <fill>
        <patternFill patternType="solid">
          <fgColor rgb="FFDC3545"/>
          <bgColor rgb="FFDC3545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6"/>
  <sheetViews>
    <sheetView tabSelected="1" zoomScale="89" zoomScaleNormal="89" workbookViewId="0">
      <selection sqref="A1:H9"/>
    </sheetView>
  </sheetViews>
  <sheetFormatPr defaultRowHeight="14.4" x14ac:dyDescent="0.3"/>
  <cols>
    <col min="1" max="1" width="40" customWidth="1"/>
    <col min="2" max="2" width="20" customWidth="1"/>
    <col min="3" max="3" width="29" bestFit="1" customWidth="1"/>
    <col min="4" max="7" width="15" customWidth="1"/>
    <col min="8" max="8" width="60" customWidth="1"/>
  </cols>
  <sheetData>
    <row r="1" spans="1:8" ht="15.6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 ht="15.6" x14ac:dyDescent="0.3">
      <c r="A2" s="4" t="s">
        <v>8</v>
      </c>
      <c r="B2" s="4" t="s">
        <v>9</v>
      </c>
      <c r="C2" s="4">
        <v>5</v>
      </c>
      <c r="D2" s="4">
        <v>5</v>
      </c>
      <c r="E2" s="4">
        <v>5</v>
      </c>
      <c r="F2" s="4">
        <f t="shared" ref="F2:F9" si="0">C2*D2*E2</f>
        <v>125</v>
      </c>
      <c r="G2" s="5" t="str">
        <f>IF(F2&gt;=100,"Crítico",IF(F2&gt;=60,"Alto",IF(F2&gt;=30,"Médio","Baixo")))</f>
        <v>Crítico</v>
      </c>
      <c r="H2" s="4" t="s">
        <v>10</v>
      </c>
    </row>
    <row r="3" spans="1:8" ht="15.6" x14ac:dyDescent="0.3">
      <c r="A3" s="4" t="s">
        <v>11</v>
      </c>
      <c r="B3" s="4" t="s">
        <v>12</v>
      </c>
      <c r="C3" s="4">
        <v>4</v>
      </c>
      <c r="D3" s="4">
        <v>4</v>
      </c>
      <c r="E3" s="4">
        <v>5</v>
      </c>
      <c r="F3" s="4">
        <f t="shared" si="0"/>
        <v>80</v>
      </c>
      <c r="G3" s="5" t="str">
        <f>IF(F3&gt;=100,"Crítico",IF(F2&gt;=60,"Alto",IF(F2&gt;=30,"Médio","Baixo")))</f>
        <v>Alto</v>
      </c>
      <c r="H3" s="4" t="s">
        <v>13</v>
      </c>
    </row>
    <row r="4" spans="1:8" ht="15.6" x14ac:dyDescent="0.3">
      <c r="A4" s="4" t="s">
        <v>14</v>
      </c>
      <c r="B4" s="4" t="s">
        <v>9</v>
      </c>
      <c r="C4" s="4">
        <v>4</v>
      </c>
      <c r="D4" s="4">
        <v>4</v>
      </c>
      <c r="E4" s="4">
        <v>4</v>
      </c>
      <c r="F4" s="4">
        <f t="shared" si="0"/>
        <v>64</v>
      </c>
      <c r="G4" s="5" t="str">
        <f t="shared" ref="G4:G9" si="1">IF(F4&gt;=100,"Crítico",IF(F3&gt;=60,"Alto",IF(F3&gt;=30,"Médio","Baixo")))</f>
        <v>Alto</v>
      </c>
      <c r="H4" s="4" t="s">
        <v>15</v>
      </c>
    </row>
    <row r="5" spans="1:8" ht="15.6" x14ac:dyDescent="0.3">
      <c r="A5" s="4" t="s">
        <v>16</v>
      </c>
      <c r="B5" s="4" t="s">
        <v>17</v>
      </c>
      <c r="C5" s="4">
        <v>4</v>
      </c>
      <c r="D5" s="4">
        <v>3</v>
      </c>
      <c r="E5" s="4">
        <v>4</v>
      </c>
      <c r="F5" s="4">
        <f t="shared" si="0"/>
        <v>48</v>
      </c>
      <c r="G5" s="5" t="str">
        <f t="shared" si="1"/>
        <v>Alto</v>
      </c>
      <c r="H5" s="4" t="s">
        <v>18</v>
      </c>
    </row>
    <row r="6" spans="1:8" ht="15.6" x14ac:dyDescent="0.3">
      <c r="A6" s="4" t="s">
        <v>19</v>
      </c>
      <c r="B6" s="4" t="s">
        <v>20</v>
      </c>
      <c r="C6" s="4">
        <v>3</v>
      </c>
      <c r="D6" s="4">
        <v>2</v>
      </c>
      <c r="E6" s="4">
        <v>4</v>
      </c>
      <c r="F6" s="4">
        <f t="shared" si="0"/>
        <v>24</v>
      </c>
      <c r="G6" s="5" t="str">
        <f t="shared" si="1"/>
        <v>Médio</v>
      </c>
      <c r="H6" s="4" t="s">
        <v>21</v>
      </c>
    </row>
    <row r="7" spans="1:8" ht="15.6" x14ac:dyDescent="0.3">
      <c r="A7" s="4" t="s">
        <v>22</v>
      </c>
      <c r="B7" s="4" t="s">
        <v>23</v>
      </c>
      <c r="C7" s="4">
        <v>4</v>
      </c>
      <c r="D7" s="4">
        <v>3</v>
      </c>
      <c r="E7" s="4">
        <v>3</v>
      </c>
      <c r="F7" s="4">
        <f t="shared" si="0"/>
        <v>36</v>
      </c>
      <c r="G7" s="5" t="str">
        <f t="shared" si="1"/>
        <v>Baixo</v>
      </c>
      <c r="H7" s="4" t="s">
        <v>24</v>
      </c>
    </row>
    <row r="8" spans="1:8" ht="15.6" x14ac:dyDescent="0.3">
      <c r="A8" s="4" t="s">
        <v>25</v>
      </c>
      <c r="B8" s="4" t="s">
        <v>26</v>
      </c>
      <c r="C8" s="4">
        <v>3</v>
      </c>
      <c r="D8" s="4">
        <v>4</v>
      </c>
      <c r="E8" s="4">
        <v>4</v>
      </c>
      <c r="F8" s="4">
        <f t="shared" si="0"/>
        <v>48</v>
      </c>
      <c r="G8" s="5" t="str">
        <f t="shared" si="1"/>
        <v>Médio</v>
      </c>
      <c r="H8" s="4" t="s">
        <v>27</v>
      </c>
    </row>
    <row r="9" spans="1:8" ht="15.6" x14ac:dyDescent="0.3">
      <c r="A9" s="4" t="s">
        <v>28</v>
      </c>
      <c r="B9" s="4" t="s">
        <v>9</v>
      </c>
      <c r="C9" s="4">
        <v>3</v>
      </c>
      <c r="D9" s="4">
        <v>3</v>
      </c>
      <c r="E9" s="4">
        <v>4</v>
      </c>
      <c r="F9" s="4">
        <f t="shared" si="0"/>
        <v>36</v>
      </c>
      <c r="G9" s="5" t="str">
        <f t="shared" si="1"/>
        <v>Médio</v>
      </c>
      <c r="H9" s="4" t="s">
        <v>29</v>
      </c>
    </row>
    <row r="12" spans="1:8" x14ac:dyDescent="0.3">
      <c r="A12" s="2" t="s">
        <v>30</v>
      </c>
      <c r="B12" s="2" t="s">
        <v>31</v>
      </c>
      <c r="C12" s="2" t="s">
        <v>32</v>
      </c>
    </row>
    <row r="13" spans="1:8" x14ac:dyDescent="0.3">
      <c r="A13" s="1" t="s">
        <v>33</v>
      </c>
      <c r="B13" s="1" t="s">
        <v>34</v>
      </c>
      <c r="C13" s="1" t="s">
        <v>35</v>
      </c>
    </row>
    <row r="14" spans="1:8" x14ac:dyDescent="0.3">
      <c r="A14" s="1" t="s">
        <v>36</v>
      </c>
      <c r="B14" s="1" t="s">
        <v>37</v>
      </c>
      <c r="C14" s="1" t="s">
        <v>38</v>
      </c>
    </row>
    <row r="15" spans="1:8" x14ac:dyDescent="0.3">
      <c r="A15" s="1" t="s">
        <v>39</v>
      </c>
      <c r="B15" s="1" t="s">
        <v>40</v>
      </c>
      <c r="C15" s="1" t="s">
        <v>41</v>
      </c>
    </row>
    <row r="16" spans="1:8" x14ac:dyDescent="0.3">
      <c r="A16" s="1" t="s">
        <v>42</v>
      </c>
      <c r="B16" s="1" t="s">
        <v>43</v>
      </c>
      <c r="C16" s="1" t="s">
        <v>44</v>
      </c>
    </row>
  </sheetData>
  <conditionalFormatting sqref="F2:F50">
    <cfRule type="colorScale" priority="1">
      <colorScale>
        <cfvo type="min"/>
        <cfvo type="percentile" val="50"/>
        <cfvo type="max"/>
        <color rgb="FFFFF3CD"/>
        <color rgb="FFFFA500"/>
        <color rgb="FFDC3545"/>
      </colorScale>
    </cfRule>
  </conditionalFormatting>
  <conditionalFormatting sqref="G10:G50">
    <cfRule type="expression" dxfId="2" priority="2" stopIfTrue="1">
      <formula>$G10="Crítico"</formula>
    </cfRule>
    <cfRule type="expression" dxfId="1" priority="3" stopIfTrue="1">
      <formula>$G10="Alto"</formula>
    </cfRule>
    <cfRule type="expression" dxfId="0" priority="4" stopIfTrue="1">
      <formula>$G10="Médio"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Matriz GUT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Alexandra Raimundo 24026156</cp:lastModifiedBy>
  <dcterms:created xsi:type="dcterms:W3CDTF">2025-11-05T22:01:27Z</dcterms:created>
  <dcterms:modified xsi:type="dcterms:W3CDTF">2025-11-10T22:35:34Z</dcterms:modified>
</cp:coreProperties>
</file>